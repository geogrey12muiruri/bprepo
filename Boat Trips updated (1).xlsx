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00294130-8CA1-4011-A0F7-87AAEA1153E6}" xr6:coauthVersionLast="47" xr6:coauthVersionMax="47" xr10:uidLastSave="{00000000-0000-0000-0000-000000000000}"/>
  <bookViews>
    <workbookView xWindow="-108" yWindow="-108" windowWidth="23256" windowHeight="12456" activeTab="1" xr2:uid="{5371D218-5931-4A3F-8ACB-8F41E7E9CA23}"/>
  </bookViews>
  <sheets>
    <sheet name="Sheet1" sheetId="1" r:id="rId1"/>
    <sheet name="one page leafl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2" l="1"/>
  <c r="G13" i="2"/>
  <c r="J12" i="2"/>
  <c r="G12" i="2"/>
  <c r="J11" i="2"/>
  <c r="G11" i="2"/>
  <c r="J10" i="2"/>
  <c r="G10" i="2"/>
  <c r="J9" i="2"/>
  <c r="G9" i="2"/>
  <c r="J8" i="2"/>
  <c r="G8" i="2"/>
  <c r="J7" i="2"/>
  <c r="G7" i="2"/>
  <c r="J5" i="1"/>
  <c r="G5" i="1"/>
  <c r="J3" i="1"/>
  <c r="J4" i="1"/>
  <c r="J6" i="1"/>
  <c r="J7" i="1"/>
  <c r="J8" i="1"/>
  <c r="J2" i="1"/>
  <c r="G3" i="1"/>
  <c r="G4" i="1"/>
  <c r="G6" i="1"/>
  <c r="G7" i="1"/>
  <c r="G8" i="1"/>
  <c r="G2" i="1"/>
</calcChain>
</file>

<file path=xl/sharedStrings.xml><?xml version="1.0" encoding="utf-8"?>
<sst xmlns="http://schemas.openxmlformats.org/spreadsheetml/2006/main" count="115" uniqueCount="60">
  <si>
    <t>NO.</t>
  </si>
  <si>
    <t>TRIP</t>
  </si>
  <si>
    <t>TOTAL TRIP TIME hrs</t>
  </si>
  <si>
    <t>BOAT TYPE</t>
  </si>
  <si>
    <t>FUEL COST</t>
  </si>
  <si>
    <t>COST PER PERSON</t>
  </si>
  <si>
    <t>Small &amp; Big Boat</t>
  </si>
  <si>
    <t>Diani</t>
  </si>
  <si>
    <t>Big Boat</t>
  </si>
  <si>
    <t>Malindi</t>
  </si>
  <si>
    <t>Sunset</t>
  </si>
  <si>
    <t>Birthdays &amp; Anniversaries</t>
  </si>
  <si>
    <t>Snorkelling reef</t>
  </si>
  <si>
    <t>Fort Jesus</t>
  </si>
  <si>
    <t>Hourly Rate Big Boat</t>
  </si>
  <si>
    <t>Hourly Rate Glass Boat</t>
  </si>
  <si>
    <t>Minimum passengers required</t>
  </si>
  <si>
    <t>Total cost to run the trip</t>
  </si>
  <si>
    <t>n/a</t>
  </si>
  <si>
    <t>Creek Safaris /Mangrove</t>
  </si>
  <si>
    <t>Charter Hire</t>
  </si>
  <si>
    <t>Capacity</t>
  </si>
  <si>
    <t>Passenger boat</t>
  </si>
  <si>
    <t>35 people maximum</t>
  </si>
  <si>
    <t>Glass bottom boat</t>
  </si>
  <si>
    <t>14 people maximum</t>
  </si>
  <si>
    <t>Daily hire cost KSH</t>
  </si>
  <si>
    <t>picture of boat</t>
  </si>
  <si>
    <t xml:space="preserve">Blue pineapple, reserve the right to cancel trips in the event of unseasonal weather, or not meeting the minumum nuber of passengers required </t>
  </si>
  <si>
    <t>Hourly hire cost ksh</t>
  </si>
  <si>
    <t>A premier Experience aboard the Bue Pineapple, with Swahili snacks and Instagram worthy sunset photo opportunities on this tour through the calm waters of the mombasa coatline</t>
  </si>
  <si>
    <t>Share Birthdays, anniversaries and milestones all aboard the crystal clear waters of the Indian ocean in Mombasa. Where the rythem of the waves sets the tone for a joyous experience under the vibtantAfrican skies and sunkissed coastline. Not to be missed</t>
  </si>
  <si>
    <t>The trip where you effortlessly float above vibrant coral gardens in the crystal clear waters of the indian ocean, surrounded by dazzling array of tropical fish. A must see</t>
  </si>
  <si>
    <t>Enjoy an exhilarating boat trip (2.5 hrs each way) to Diani over the turquoise waters, vibtant coral reefs. Spend 3 hours on the amazing sun-kissed beach, take in the local cuisine and beers while you relax.</t>
  </si>
  <si>
    <t>Enjoy Mombasa's mangrove and creek safaris which offer a serene escape where you can glide through tranqual esturies like Mtwapa and Tudor Creek nature at its best bythe Blue Pinapple</t>
  </si>
  <si>
    <t>View the azure Indian ocean, Panoramic views of the hystoric coastline, old habour and the stunning skyline of this ancient maritime city. Journey includes 3 hours to view the old castle, or can be ordered with out the 3 hour wait. Please make your request clear when booking</t>
  </si>
  <si>
    <t>A boat trip by the Blue Pineapple from Mombasa to Malindi, a momenentous way to experience the Kenyan coast</t>
  </si>
  <si>
    <t>Departure time from Mombasa beach</t>
  </si>
  <si>
    <t>11.00 am and 2.00 pm</t>
  </si>
  <si>
    <t>9.00am</t>
  </si>
  <si>
    <t>10.00 am</t>
  </si>
  <si>
    <t>10.00am</t>
  </si>
  <si>
    <t>9.00 am through to 5.00 pm. Please request a time</t>
  </si>
  <si>
    <t>all day Upon request</t>
  </si>
  <si>
    <t xml:space="preserve">5.30 pm </t>
  </si>
  <si>
    <t>Logo</t>
  </si>
  <si>
    <t>Blue Pineapple coastal services</t>
  </si>
  <si>
    <t>Updated for January/February 2026</t>
  </si>
  <si>
    <t xml:space="preserve">Why choose Blue Pinapple </t>
  </si>
  <si>
    <t xml:space="preserve">We have the latest, fully equipped boats, fully insured and certified. We place the utmost importance on Passenger safety, with GPS fitted, 24 hour survelance cameras, and qualified captains with 20 years experience of these waters. Everything we do is to European safety standards </t>
  </si>
  <si>
    <t>small text at the botom of the page.  In the event of unseasonal weather or passenenger reservations not meeting the minimum requirement, we reserve the right to postpone the trip. A full refund or a new date can be agreed upon</t>
  </si>
  <si>
    <t>Setting sons</t>
  </si>
  <si>
    <t>Hunky Dory</t>
  </si>
  <si>
    <t>Booking reservations should be made with as much notice as possible.</t>
  </si>
  <si>
    <t xml:space="preserve">For booking and reservations </t>
  </si>
  <si>
    <t xml:space="preserve">Telephone and whatsapp </t>
  </si>
  <si>
    <t>254 708485978</t>
  </si>
  <si>
    <t>Email</t>
  </si>
  <si>
    <t>Bluepinappleholdings@gmail.com</t>
  </si>
  <si>
    <t>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</si>
</sst>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Times New Roman"/>
      <family val="1"/>
    </font>
    <font>
      <sz val="14"/>
      <color theme="1"/>
      <name val="Times New Roman"/>
      <family val="1"/>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center"/>
    </xf>
    <xf numFmtId="0" fontId="2" fillId="0" borderId="1" xfId="0" applyFont="1" applyBorder="1"/>
    <xf numFmtId="3" fontId="2" fillId="0" borderId="1" xfId="0" applyNumberFormat="1" applyFont="1" applyBorder="1" applyAlignment="1">
      <alignment horizontal="center"/>
    </xf>
    <xf numFmtId="0" fontId="2" fillId="0" borderId="1" xfId="0" applyFont="1" applyBorder="1" applyAlignment="1">
      <alignment horizontal="center"/>
    </xf>
    <xf numFmtId="3" fontId="1" fillId="0" borderId="1" xfId="0" applyNumberFormat="1" applyFont="1" applyBorder="1" applyAlignment="1">
      <alignment horizontal="center" wrapText="1"/>
    </xf>
    <xf numFmtId="3" fontId="0" fillId="0" borderId="0" xfId="0" applyNumberFormat="1"/>
    <xf numFmtId="0" fontId="2" fillId="0" borderId="0" xfId="0" applyFont="1" applyFill="1" applyBorder="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Bluepinappleholding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E974-D567-4A34-8938-BD392FCC2F67}">
  <dimension ref="A1:N22"/>
  <sheetViews>
    <sheetView workbookViewId="0">
      <selection activeCell="B1" sqref="B1:AL18"/>
    </sheetView>
  </sheetViews>
  <sheetFormatPr defaultRowHeight="14.4" x14ac:dyDescent="0.3"/>
  <cols>
    <col min="1" max="1" width="5.5546875" bestFit="1" customWidth="1"/>
    <col min="2" max="2" width="28.88671875" bestFit="1" customWidth="1"/>
    <col min="3" max="3" width="15.5546875" customWidth="1"/>
    <col min="4" max="4" width="19.6640625" customWidth="1"/>
    <col min="5" max="5" width="13.5546875" style="8" hidden="1" customWidth="1"/>
    <col min="6" max="6" width="14" hidden="1" customWidth="1"/>
    <col min="7" max="8" width="17.5546875" hidden="1" customWidth="1"/>
    <col min="9" max="11" width="18.44140625" hidden="1" customWidth="1"/>
    <col min="12" max="12" width="18.6640625" style="8" customWidth="1"/>
  </cols>
  <sheetData>
    <row r="1" spans="1:14" ht="52.2" x14ac:dyDescent="0.3">
      <c r="A1" s="1" t="s">
        <v>0</v>
      </c>
      <c r="B1" s="2" t="s">
        <v>1</v>
      </c>
      <c r="C1" s="2" t="s">
        <v>2</v>
      </c>
      <c r="D1" s="2" t="s">
        <v>3</v>
      </c>
      <c r="E1" s="7" t="s">
        <v>4</v>
      </c>
      <c r="F1" s="1" t="s">
        <v>15</v>
      </c>
      <c r="G1" s="1" t="s">
        <v>17</v>
      </c>
      <c r="H1" s="1" t="s">
        <v>16</v>
      </c>
      <c r="I1" s="1" t="s">
        <v>14</v>
      </c>
      <c r="J1" s="1" t="s">
        <v>17</v>
      </c>
      <c r="K1" s="1" t="s">
        <v>16</v>
      </c>
      <c r="L1" s="7" t="s">
        <v>5</v>
      </c>
    </row>
    <row r="2" spans="1:14" ht="18" x14ac:dyDescent="0.35">
      <c r="A2" s="3">
        <v>1</v>
      </c>
      <c r="B2" s="4" t="s">
        <v>19</v>
      </c>
      <c r="C2" s="6">
        <v>3</v>
      </c>
      <c r="D2" s="4" t="s">
        <v>8</v>
      </c>
      <c r="E2" s="5">
        <v>7500</v>
      </c>
      <c r="F2" s="5">
        <v>15000</v>
      </c>
      <c r="G2" s="5">
        <f>E2+1500</f>
        <v>9000</v>
      </c>
      <c r="H2" s="5">
        <v>4</v>
      </c>
      <c r="I2" s="5">
        <v>25000</v>
      </c>
      <c r="J2" s="5">
        <f>E2+2500</f>
        <v>10000</v>
      </c>
      <c r="K2" s="5">
        <v>4</v>
      </c>
      <c r="L2" s="5">
        <v>4000</v>
      </c>
      <c r="M2" t="s">
        <v>34</v>
      </c>
    </row>
    <row r="3" spans="1:14" ht="18" x14ac:dyDescent="0.35">
      <c r="A3" s="3">
        <v>2</v>
      </c>
      <c r="B3" s="4" t="s">
        <v>7</v>
      </c>
      <c r="C3" s="6">
        <v>8</v>
      </c>
      <c r="D3" s="4" t="s">
        <v>8</v>
      </c>
      <c r="E3" s="5">
        <v>15000</v>
      </c>
      <c r="F3" s="5">
        <v>15000</v>
      </c>
      <c r="G3" s="5">
        <f t="shared" ref="G3:G9" si="0">E3+1500</f>
        <v>16500</v>
      </c>
      <c r="H3" s="5">
        <v>6</v>
      </c>
      <c r="I3" s="5">
        <v>25000</v>
      </c>
      <c r="J3" s="5">
        <f t="shared" ref="J3:J9" si="1">E3+2500</f>
        <v>17500</v>
      </c>
      <c r="K3" s="5">
        <v>4</v>
      </c>
      <c r="L3" s="5">
        <v>8000</v>
      </c>
      <c r="M3" t="s">
        <v>33</v>
      </c>
    </row>
    <row r="4" spans="1:14" ht="18" x14ac:dyDescent="0.35">
      <c r="A4" s="3">
        <v>3</v>
      </c>
      <c r="B4" s="4" t="s">
        <v>9</v>
      </c>
      <c r="C4" s="6">
        <v>6</v>
      </c>
      <c r="D4" s="4" t="s">
        <v>8</v>
      </c>
      <c r="E4" s="5">
        <v>30000</v>
      </c>
      <c r="F4" s="5">
        <v>15000</v>
      </c>
      <c r="G4" s="5">
        <f t="shared" si="0"/>
        <v>31500</v>
      </c>
      <c r="H4" s="5">
        <v>6</v>
      </c>
      <c r="I4" s="5">
        <v>25000</v>
      </c>
      <c r="J4" s="5">
        <f t="shared" si="1"/>
        <v>32500</v>
      </c>
      <c r="K4" s="5">
        <v>8</v>
      </c>
      <c r="L4" s="5">
        <v>8000</v>
      </c>
      <c r="M4" t="s">
        <v>36</v>
      </c>
    </row>
    <row r="5" spans="1:14" ht="18" x14ac:dyDescent="0.35">
      <c r="A5" s="3">
        <v>4</v>
      </c>
      <c r="B5" s="4" t="s">
        <v>13</v>
      </c>
      <c r="C5" s="6">
        <v>5</v>
      </c>
      <c r="D5" s="4" t="s">
        <v>6</v>
      </c>
      <c r="E5" s="5">
        <v>3000</v>
      </c>
      <c r="F5" s="5">
        <v>15000</v>
      </c>
      <c r="G5" s="5">
        <f t="shared" ref="G5" si="2">E5+1500</f>
        <v>4500</v>
      </c>
      <c r="H5" s="5">
        <v>4</v>
      </c>
      <c r="I5" s="5">
        <v>25000</v>
      </c>
      <c r="J5" s="5">
        <f t="shared" ref="J5" si="3">E5+2500</f>
        <v>5500</v>
      </c>
      <c r="K5" s="5">
        <v>4</v>
      </c>
      <c r="L5" s="5">
        <v>4000</v>
      </c>
      <c r="M5" t="s">
        <v>35</v>
      </c>
    </row>
    <row r="6" spans="1:14" ht="18" x14ac:dyDescent="0.35">
      <c r="A6" s="3">
        <v>5</v>
      </c>
      <c r="B6" s="4" t="s">
        <v>10</v>
      </c>
      <c r="C6" s="6">
        <v>1.5</v>
      </c>
      <c r="D6" s="4" t="s">
        <v>6</v>
      </c>
      <c r="E6" s="5">
        <v>3000</v>
      </c>
      <c r="F6" s="5">
        <v>15000</v>
      </c>
      <c r="G6" s="5">
        <f t="shared" si="0"/>
        <v>4500</v>
      </c>
      <c r="H6" s="5">
        <v>4</v>
      </c>
      <c r="I6" s="5">
        <v>25000</v>
      </c>
      <c r="J6" s="5">
        <f t="shared" si="1"/>
        <v>5500</v>
      </c>
      <c r="K6" s="5" t="s">
        <v>18</v>
      </c>
      <c r="L6" s="5">
        <v>3000</v>
      </c>
      <c r="M6" t="s">
        <v>30</v>
      </c>
    </row>
    <row r="7" spans="1:14" ht="18" x14ac:dyDescent="0.35">
      <c r="A7" s="3">
        <v>6</v>
      </c>
      <c r="B7" s="4" t="s">
        <v>11</v>
      </c>
      <c r="C7" s="6">
        <v>1</v>
      </c>
      <c r="D7" s="4" t="s">
        <v>6</v>
      </c>
      <c r="E7" s="5">
        <v>3000</v>
      </c>
      <c r="F7" s="5">
        <v>15000</v>
      </c>
      <c r="G7" s="5">
        <f t="shared" si="0"/>
        <v>4500</v>
      </c>
      <c r="H7" s="5">
        <v>6</v>
      </c>
      <c r="I7" s="5">
        <v>25000</v>
      </c>
      <c r="J7" s="5">
        <f t="shared" si="1"/>
        <v>5500</v>
      </c>
      <c r="K7" s="5">
        <v>6</v>
      </c>
      <c r="L7" s="5">
        <v>2000</v>
      </c>
      <c r="M7" t="s">
        <v>31</v>
      </c>
    </row>
    <row r="8" spans="1:14" ht="18" x14ac:dyDescent="0.35">
      <c r="A8" s="3">
        <v>7</v>
      </c>
      <c r="B8" s="4" t="s">
        <v>12</v>
      </c>
      <c r="C8" s="6">
        <v>1</v>
      </c>
      <c r="D8" s="4" t="s">
        <v>6</v>
      </c>
      <c r="E8" s="5">
        <v>3000</v>
      </c>
      <c r="F8" s="5">
        <v>15000</v>
      </c>
      <c r="G8" s="5">
        <f t="shared" si="0"/>
        <v>4500</v>
      </c>
      <c r="H8" s="5">
        <v>6</v>
      </c>
      <c r="I8" s="5">
        <v>25000</v>
      </c>
      <c r="J8" s="5">
        <f t="shared" si="1"/>
        <v>5500</v>
      </c>
      <c r="K8" s="5">
        <v>6</v>
      </c>
      <c r="L8" s="5">
        <v>2000</v>
      </c>
      <c r="M8" t="s">
        <v>32</v>
      </c>
    </row>
    <row r="9" spans="1:14" ht="18" x14ac:dyDescent="0.35">
      <c r="A9" s="3">
        <v>8</v>
      </c>
      <c r="B9" s="4"/>
      <c r="C9" s="6"/>
      <c r="D9" s="4"/>
      <c r="E9" s="5"/>
      <c r="F9" s="5"/>
      <c r="G9" s="5"/>
      <c r="H9" s="5"/>
      <c r="I9" s="5"/>
      <c r="J9" s="5"/>
      <c r="K9" s="5"/>
      <c r="L9" s="5"/>
    </row>
    <row r="11" spans="1:14" ht="18" x14ac:dyDescent="0.35">
      <c r="B11" s="9" t="s">
        <v>20</v>
      </c>
    </row>
    <row r="12" spans="1:14" x14ac:dyDescent="0.3">
      <c r="D12" t="s">
        <v>21</v>
      </c>
      <c r="H12" t="s">
        <v>26</v>
      </c>
      <c r="L12" s="8" t="s">
        <v>29</v>
      </c>
      <c r="N12" t="s">
        <v>26</v>
      </c>
    </row>
    <row r="14" spans="1:14" x14ac:dyDescent="0.3">
      <c r="B14" t="s">
        <v>22</v>
      </c>
      <c r="C14" t="s">
        <v>27</v>
      </c>
      <c r="D14" t="s">
        <v>23</v>
      </c>
      <c r="H14" s="8">
        <v>32000</v>
      </c>
      <c r="L14" s="8">
        <v>8000</v>
      </c>
      <c r="N14" s="8">
        <v>32000</v>
      </c>
    </row>
    <row r="16" spans="1:14" x14ac:dyDescent="0.3">
      <c r="B16" t="s">
        <v>24</v>
      </c>
      <c r="C16" t="s">
        <v>27</v>
      </c>
      <c r="D16" t="s">
        <v>25</v>
      </c>
      <c r="H16" s="8">
        <v>20000</v>
      </c>
      <c r="L16" s="8">
        <v>5000</v>
      </c>
      <c r="N16" s="8">
        <v>20000</v>
      </c>
    </row>
    <row r="22" spans="2:2" x14ac:dyDescent="0.3">
      <c r="B22"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87B6-8245-4674-88F9-0D8FB871EBE4}">
  <dimension ref="A2:P31"/>
  <sheetViews>
    <sheetView tabSelected="1" workbookViewId="0">
      <selection activeCell="N5" sqref="N5"/>
    </sheetView>
  </sheetViews>
  <sheetFormatPr defaultRowHeight="14.4" x14ac:dyDescent="0.3"/>
  <cols>
    <col min="1" max="1" width="29.5546875" customWidth="1"/>
    <col min="2" max="2" width="53.44140625" bestFit="1" customWidth="1"/>
    <col min="3" max="3" width="15.33203125" customWidth="1"/>
    <col min="4" max="4" width="19.109375" customWidth="1"/>
    <col min="5" max="9" width="0" hidden="1" customWidth="1"/>
    <col min="10" max="10" width="6.44140625" hidden="1" customWidth="1"/>
    <col min="11" max="11" width="0" hidden="1" customWidth="1"/>
    <col min="12" max="12" width="15.33203125" customWidth="1"/>
  </cols>
  <sheetData>
    <row r="2" spans="1:16" x14ac:dyDescent="0.3">
      <c r="A2" t="s">
        <v>45</v>
      </c>
      <c r="B2" t="s">
        <v>46</v>
      </c>
      <c r="C2" t="s">
        <v>47</v>
      </c>
      <c r="M2" t="s">
        <v>54</v>
      </c>
    </row>
    <row r="3" spans="1:16" x14ac:dyDescent="0.3">
      <c r="M3" t="s">
        <v>55</v>
      </c>
      <c r="P3" t="s">
        <v>56</v>
      </c>
    </row>
    <row r="4" spans="1:16" x14ac:dyDescent="0.3">
      <c r="M4" t="s">
        <v>57</v>
      </c>
      <c r="N4" s="10" t="s">
        <v>58</v>
      </c>
    </row>
    <row r="5" spans="1:16" x14ac:dyDescent="0.3">
      <c r="M5" t="s">
        <v>59</v>
      </c>
    </row>
    <row r="6" spans="1:16" ht="121.8" x14ac:dyDescent="0.3">
      <c r="A6" s="2" t="s">
        <v>1</v>
      </c>
      <c r="B6" s="2" t="s">
        <v>37</v>
      </c>
      <c r="C6" s="2" t="s">
        <v>2</v>
      </c>
      <c r="D6" s="2" t="s">
        <v>3</v>
      </c>
      <c r="E6" s="7" t="s">
        <v>4</v>
      </c>
      <c r="F6" s="1" t="s">
        <v>15</v>
      </c>
      <c r="G6" s="1" t="s">
        <v>17</v>
      </c>
      <c r="H6" s="1" t="s">
        <v>16</v>
      </c>
      <c r="I6" s="1" t="s">
        <v>14</v>
      </c>
      <c r="J6" s="1" t="s">
        <v>17</v>
      </c>
      <c r="K6" s="1" t="s">
        <v>16</v>
      </c>
      <c r="L6" s="7" t="s">
        <v>5</v>
      </c>
    </row>
    <row r="7" spans="1:16" ht="18" x14ac:dyDescent="0.35">
      <c r="A7" s="4" t="s">
        <v>19</v>
      </c>
      <c r="B7" s="4" t="s">
        <v>38</v>
      </c>
      <c r="C7" s="6">
        <v>3</v>
      </c>
      <c r="D7" s="4" t="s">
        <v>8</v>
      </c>
      <c r="E7" s="5">
        <v>7500</v>
      </c>
      <c r="F7" s="5">
        <v>15000</v>
      </c>
      <c r="G7" s="5">
        <f>E7+1500</f>
        <v>9000</v>
      </c>
      <c r="H7" s="5">
        <v>4</v>
      </c>
      <c r="I7" s="5">
        <v>25000</v>
      </c>
      <c r="J7" s="5">
        <f>E7+2500</f>
        <v>10000</v>
      </c>
      <c r="K7" s="5">
        <v>4</v>
      </c>
      <c r="L7" s="5">
        <v>4000</v>
      </c>
      <c r="M7" t="s">
        <v>34</v>
      </c>
    </row>
    <row r="8" spans="1:16" ht="18" x14ac:dyDescent="0.35">
      <c r="A8" s="4" t="s">
        <v>7</v>
      </c>
      <c r="B8" s="4" t="s">
        <v>39</v>
      </c>
      <c r="C8" s="6">
        <v>8</v>
      </c>
      <c r="D8" s="4" t="s">
        <v>8</v>
      </c>
      <c r="E8" s="5">
        <v>15000</v>
      </c>
      <c r="F8" s="5">
        <v>15000</v>
      </c>
      <c r="G8" s="5">
        <f t="shared" ref="G8:G14" si="0">E8+1500</f>
        <v>16500</v>
      </c>
      <c r="H8" s="5">
        <v>6</v>
      </c>
      <c r="I8" s="5">
        <v>25000</v>
      </c>
      <c r="J8" s="5">
        <f t="shared" ref="J8:J14" si="1">E8+2500</f>
        <v>17500</v>
      </c>
      <c r="K8" s="5">
        <v>4</v>
      </c>
      <c r="L8" s="5">
        <v>8000</v>
      </c>
      <c r="M8" t="s">
        <v>33</v>
      </c>
    </row>
    <row r="9" spans="1:16" ht="18" x14ac:dyDescent="0.35">
      <c r="A9" s="4" t="s">
        <v>9</v>
      </c>
      <c r="B9" s="4" t="s">
        <v>40</v>
      </c>
      <c r="C9" s="6">
        <v>6</v>
      </c>
      <c r="D9" s="4" t="s">
        <v>8</v>
      </c>
      <c r="E9" s="5">
        <v>30000</v>
      </c>
      <c r="F9" s="5">
        <v>15000</v>
      </c>
      <c r="G9" s="5">
        <f t="shared" si="0"/>
        <v>31500</v>
      </c>
      <c r="H9" s="5">
        <v>6</v>
      </c>
      <c r="I9" s="5">
        <v>25000</v>
      </c>
      <c r="J9" s="5">
        <f t="shared" si="1"/>
        <v>32500</v>
      </c>
      <c r="K9" s="5">
        <v>8</v>
      </c>
      <c r="L9" s="5">
        <v>8000</v>
      </c>
      <c r="M9" t="s">
        <v>36</v>
      </c>
    </row>
    <row r="10" spans="1:16" ht="18" x14ac:dyDescent="0.35">
      <c r="A10" s="4" t="s">
        <v>13</v>
      </c>
      <c r="B10" s="4" t="s">
        <v>41</v>
      </c>
      <c r="C10" s="6">
        <v>5</v>
      </c>
      <c r="D10" s="4" t="s">
        <v>6</v>
      </c>
      <c r="E10" s="5">
        <v>3000</v>
      </c>
      <c r="F10" s="5">
        <v>15000</v>
      </c>
      <c r="G10" s="5">
        <f t="shared" si="0"/>
        <v>4500</v>
      </c>
      <c r="H10" s="5">
        <v>4</v>
      </c>
      <c r="I10" s="5">
        <v>25000</v>
      </c>
      <c r="J10" s="5">
        <f t="shared" si="1"/>
        <v>5500</v>
      </c>
      <c r="K10" s="5">
        <v>4</v>
      </c>
      <c r="L10" s="5">
        <v>4000</v>
      </c>
      <c r="M10" t="s">
        <v>35</v>
      </c>
    </row>
    <row r="11" spans="1:16" ht="18" x14ac:dyDescent="0.35">
      <c r="A11" s="4" t="s">
        <v>10</v>
      </c>
      <c r="B11" s="4" t="s">
        <v>44</v>
      </c>
      <c r="C11" s="6">
        <v>1.5</v>
      </c>
      <c r="D11" s="4" t="s">
        <v>6</v>
      </c>
      <c r="E11" s="5">
        <v>3000</v>
      </c>
      <c r="F11" s="5">
        <v>15000</v>
      </c>
      <c r="G11" s="5">
        <f t="shared" si="0"/>
        <v>4500</v>
      </c>
      <c r="H11" s="5">
        <v>4</v>
      </c>
      <c r="I11" s="5">
        <v>25000</v>
      </c>
      <c r="J11" s="5">
        <f t="shared" si="1"/>
        <v>5500</v>
      </c>
      <c r="K11" s="5">
        <v>4</v>
      </c>
      <c r="L11" s="5">
        <v>3000</v>
      </c>
      <c r="M11" t="s">
        <v>30</v>
      </c>
    </row>
    <row r="12" spans="1:16" ht="18" x14ac:dyDescent="0.35">
      <c r="A12" s="4" t="s">
        <v>11</v>
      </c>
      <c r="B12" s="4" t="s">
        <v>43</v>
      </c>
      <c r="C12" s="6">
        <v>1</v>
      </c>
      <c r="D12" s="4" t="s">
        <v>6</v>
      </c>
      <c r="E12" s="5">
        <v>3000</v>
      </c>
      <c r="F12" s="5">
        <v>15000</v>
      </c>
      <c r="G12" s="5">
        <f t="shared" si="0"/>
        <v>4500</v>
      </c>
      <c r="H12" s="5">
        <v>6</v>
      </c>
      <c r="I12" s="5">
        <v>25000</v>
      </c>
      <c r="J12" s="5">
        <f t="shared" si="1"/>
        <v>5500</v>
      </c>
      <c r="K12" s="5">
        <v>6</v>
      </c>
      <c r="L12" s="5">
        <v>2000</v>
      </c>
      <c r="M12" t="s">
        <v>31</v>
      </c>
    </row>
    <row r="13" spans="1:16" ht="18" x14ac:dyDescent="0.35">
      <c r="A13" s="4" t="s">
        <v>12</v>
      </c>
      <c r="B13" s="4" t="s">
        <v>42</v>
      </c>
      <c r="C13" s="6">
        <v>1</v>
      </c>
      <c r="D13" s="4" t="s">
        <v>6</v>
      </c>
      <c r="E13" s="5">
        <v>3000</v>
      </c>
      <c r="F13" s="5">
        <v>15000</v>
      </c>
      <c r="G13" s="5">
        <f t="shared" si="0"/>
        <v>4500</v>
      </c>
      <c r="H13" s="5">
        <v>6</v>
      </c>
      <c r="I13" s="5">
        <v>25000</v>
      </c>
      <c r="J13" s="5">
        <f t="shared" si="1"/>
        <v>5500</v>
      </c>
      <c r="K13" s="5">
        <v>6</v>
      </c>
      <c r="L13" s="5">
        <v>2000</v>
      </c>
      <c r="M13" t="s">
        <v>32</v>
      </c>
    </row>
    <row r="14" spans="1:16" ht="18" x14ac:dyDescent="0.35">
      <c r="A14" s="4"/>
      <c r="B14" s="4"/>
      <c r="C14" s="6"/>
      <c r="D14" s="4"/>
      <c r="E14" s="5"/>
      <c r="F14" s="5"/>
      <c r="G14" s="5"/>
      <c r="H14" s="5"/>
      <c r="I14" s="5"/>
      <c r="J14" s="5"/>
      <c r="K14" s="5"/>
      <c r="L14" s="5"/>
    </row>
    <row r="15" spans="1:16" x14ac:dyDescent="0.3">
      <c r="E15" s="8"/>
      <c r="L15" s="8"/>
    </row>
    <row r="16" spans="1:16" ht="18" x14ac:dyDescent="0.35">
      <c r="A16" s="9" t="s">
        <v>20</v>
      </c>
      <c r="B16" s="9"/>
      <c r="E16" s="8"/>
      <c r="L16" s="8"/>
    </row>
    <row r="17" spans="1:16" x14ac:dyDescent="0.3">
      <c r="D17" t="s">
        <v>21</v>
      </c>
      <c r="E17" s="8"/>
      <c r="H17" t="s">
        <v>26</v>
      </c>
      <c r="L17" s="8" t="s">
        <v>29</v>
      </c>
      <c r="N17" t="s">
        <v>26</v>
      </c>
    </row>
    <row r="18" spans="1:16" x14ac:dyDescent="0.3">
      <c r="E18" s="8"/>
      <c r="L18" s="8"/>
    </row>
    <row r="19" spans="1:16" x14ac:dyDescent="0.3">
      <c r="A19" t="s">
        <v>22</v>
      </c>
      <c r="B19" t="s">
        <v>27</v>
      </c>
      <c r="C19" t="s">
        <v>27</v>
      </c>
      <c r="D19" t="s">
        <v>23</v>
      </c>
      <c r="E19" s="8"/>
      <c r="H19" s="8">
        <v>32000</v>
      </c>
      <c r="L19" s="8">
        <v>8000</v>
      </c>
      <c r="N19" s="8">
        <v>32000</v>
      </c>
      <c r="P19" t="s">
        <v>53</v>
      </c>
    </row>
    <row r="20" spans="1:16" x14ac:dyDescent="0.3">
      <c r="A20" t="s">
        <v>51</v>
      </c>
      <c r="E20" s="8"/>
      <c r="L20" s="8"/>
    </row>
    <row r="21" spans="1:16" x14ac:dyDescent="0.3">
      <c r="A21" t="s">
        <v>24</v>
      </c>
      <c r="B21" t="s">
        <v>27</v>
      </c>
      <c r="C21" t="s">
        <v>27</v>
      </c>
      <c r="D21" t="s">
        <v>25</v>
      </c>
      <c r="E21" s="8"/>
      <c r="H21" s="8">
        <v>20000</v>
      </c>
      <c r="L21" s="8">
        <v>5000</v>
      </c>
      <c r="N21" s="8">
        <v>20000</v>
      </c>
      <c r="P21" t="s">
        <v>53</v>
      </c>
    </row>
    <row r="22" spans="1:16" x14ac:dyDescent="0.3">
      <c r="A22" t="s">
        <v>52</v>
      </c>
      <c r="E22" s="8"/>
      <c r="L22" s="8"/>
    </row>
    <row r="23" spans="1:16" x14ac:dyDescent="0.3">
      <c r="E23" s="8"/>
      <c r="L23" s="8"/>
    </row>
    <row r="24" spans="1:16" x14ac:dyDescent="0.3">
      <c r="A24" t="s">
        <v>48</v>
      </c>
      <c r="B24" t="s">
        <v>49</v>
      </c>
    </row>
    <row r="31" spans="1:16" x14ac:dyDescent="0.3">
      <c r="A31" t="s">
        <v>50</v>
      </c>
    </row>
  </sheetData>
  <hyperlinks>
    <hyperlink ref="N4" r:id="rId1" xr:uid="{1245C8BF-6B8C-4C74-933E-C040F72140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one page leaflet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bluepineapple holdings</cp:lastModifiedBy>
  <dcterms:created xsi:type="dcterms:W3CDTF">2026-01-15T10:58:25Z</dcterms:created>
  <dcterms:modified xsi:type="dcterms:W3CDTF">2026-01-28T13:21:08Z</dcterms:modified>
</cp:coreProperties>
</file>